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295" windowHeight="142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8" i="1"/>
  <c r="B17"/>
  <c r="B24"/>
  <c r="B25" s="1"/>
  <c r="B22"/>
  <c r="B12"/>
  <c r="B14"/>
  <c r="B15" s="1"/>
  <c r="B8"/>
  <c r="B7"/>
  <c r="B6"/>
  <c r="B5"/>
  <c r="B27" l="1"/>
  <c r="B28" s="1"/>
  <c r="B26"/>
  <c r="B16"/>
</calcChain>
</file>

<file path=xl/sharedStrings.xml><?xml version="1.0" encoding="utf-8"?>
<sst xmlns="http://schemas.openxmlformats.org/spreadsheetml/2006/main" count="18" uniqueCount="14">
  <si>
    <t>S2000 time calculations</t>
  </si>
  <si>
    <t>For raw, uncorrected time</t>
  </si>
  <si>
    <t>Seconds in a minute</t>
  </si>
  <si>
    <t>Seconds in an hour</t>
  </si>
  <si>
    <t>Seconds in a day</t>
  </si>
  <si>
    <t>Approximate number of seconds in a year</t>
  </si>
  <si>
    <t>Size of 32 bit integer, without the sign</t>
  </si>
  <si>
    <t>Number of uncorrected years in 32 bit number</t>
  </si>
  <si>
    <t>Maximum past year</t>
  </si>
  <si>
    <t>Maximum future year</t>
  </si>
  <si>
    <t>Size of 64 bit integer, without the sign</t>
  </si>
  <si>
    <t>Number of uncorrected years in 64 bit number</t>
  </si>
  <si>
    <t>Days of leap year error</t>
  </si>
  <si>
    <t>Years of leap year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</si>
</sst>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>
      <selection activeCell="D31" sqref="D31"/>
    </sheetView>
  </sheetViews>
  <sheetFormatPr defaultRowHeight="15"/>
  <cols>
    <col min="2" max="2" width="24.5703125" customWidth="1"/>
  </cols>
  <sheetData>
    <row r="1" spans="1:4">
      <c r="A1" t="s">
        <v>0</v>
      </c>
    </row>
    <row r="3" spans="1:4">
      <c r="B3" t="s">
        <v>1</v>
      </c>
    </row>
    <row r="5" spans="1:4">
      <c r="B5" s="1">
        <f>1*60</f>
        <v>60</v>
      </c>
      <c r="D5" t="s">
        <v>2</v>
      </c>
    </row>
    <row r="6" spans="1:4">
      <c r="B6" s="1">
        <f>B5*60</f>
        <v>3600</v>
      </c>
      <c r="D6" t="s">
        <v>3</v>
      </c>
    </row>
    <row r="7" spans="1:4">
      <c r="B7" s="1">
        <f>B6*24</f>
        <v>86400</v>
      </c>
      <c r="D7" t="s">
        <v>4</v>
      </c>
    </row>
    <row r="8" spans="1:4">
      <c r="B8" s="1">
        <f>B7*365</f>
        <v>31536000</v>
      </c>
      <c r="D8" t="s">
        <v>5</v>
      </c>
    </row>
    <row r="9" spans="1:4">
      <c r="B9" s="1"/>
    </row>
    <row r="10" spans="1:4">
      <c r="B10" s="1"/>
    </row>
    <row r="11" spans="1:4">
      <c r="B11" s="1"/>
    </row>
    <row r="12" spans="1:4">
      <c r="B12" s="1">
        <f>2*2*2*2*2*2*2*2*2*2*2*2*2*2*2*2*2*2*2*2*2*2*2*2*2*2*2*2*2*2*2</f>
        <v>2147483648</v>
      </c>
      <c r="D12" t="s">
        <v>6</v>
      </c>
    </row>
    <row r="13" spans="1:4">
      <c r="B13" s="1"/>
    </row>
    <row r="14" spans="1:4">
      <c r="B14" s="1">
        <f>B12/B8</f>
        <v>68.09625976661593</v>
      </c>
      <c r="D14" t="s">
        <v>7</v>
      </c>
    </row>
    <row r="15" spans="1:4">
      <c r="B15" s="1">
        <f>2000-B14</f>
        <v>1931.903740233384</v>
      </c>
      <c r="D15" t="s">
        <v>8</v>
      </c>
    </row>
    <row r="16" spans="1:4">
      <c r="B16" s="1">
        <f>2000+B14</f>
        <v>2068.0962597666157</v>
      </c>
      <c r="D16" t="s">
        <v>9</v>
      </c>
    </row>
    <row r="17" spans="2:4">
      <c r="B17" s="1">
        <f>B14/4</f>
        <v>17.024064941653982</v>
      </c>
      <c r="D17" t="s">
        <v>12</v>
      </c>
    </row>
    <row r="18" spans="2:4">
      <c r="B18" s="1">
        <f>B17/365</f>
        <v>4.6641273812750635E-2</v>
      </c>
      <c r="D18" t="s">
        <v>13</v>
      </c>
    </row>
    <row r="19" spans="2:4">
      <c r="B19" s="1"/>
    </row>
    <row r="20" spans="2:4">
      <c r="B20" s="1"/>
    </row>
    <row r="21" spans="2:4">
      <c r="B21" s="1"/>
    </row>
    <row r="22" spans="2:4">
      <c r="B22" s="1">
        <f>2*2*2*2*2*2*2*2*2*2*2*2*2*2*2*2*2*2*2*2*2*2*2*2*2*2*2*2*2*2*22*2*2*2*2*2*2*2*2*2*2*2*2*2*2*2*2*2*2*2*2*2*2*2*2*2*2*2*2*2*2*2</f>
        <v>5.0728546202701267E+19</v>
      </c>
      <c r="D22" t="s">
        <v>10</v>
      </c>
    </row>
    <row r="23" spans="2:4">
      <c r="B23" s="1"/>
    </row>
    <row r="24" spans="2:4">
      <c r="B24" s="1">
        <f>B22/B8</f>
        <v>1608591647726.448</v>
      </c>
      <c r="D24" t="s">
        <v>11</v>
      </c>
    </row>
    <row r="25" spans="2:4">
      <c r="B25" s="1">
        <f>2000-B24</f>
        <v>-1608591645726.448</v>
      </c>
      <c r="D25" t="s">
        <v>8</v>
      </c>
    </row>
    <row r="26" spans="2:4">
      <c r="B26" s="1">
        <f>2000+B24</f>
        <v>1608591649726.448</v>
      </c>
      <c r="D26" t="s">
        <v>9</v>
      </c>
    </row>
    <row r="27" spans="2:4">
      <c r="B27" s="1">
        <f>B24/4</f>
        <v>402147911931.612</v>
      </c>
      <c r="D27" t="s">
        <v>12</v>
      </c>
    </row>
    <row r="28" spans="2:4">
      <c r="B28" s="1">
        <f>B27/365</f>
        <v>1101775101.1824987</v>
      </c>
      <c r="D28" t="s">
        <v>13</v>
      </c>
    </row>
    <row r="32" spans="2:4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samiam</dc:creator>
  <cp:lastModifiedBy>samiam</cp:lastModifiedBy>
  <dcterms:created xsi:type="dcterms:W3CDTF">2009-03-01T19:22:56Z</dcterms:created>
  <dcterms:modified xsi:type="dcterms:W3CDTF">2009-03-01T19:46:59Z</dcterms:modified>
</cp:coreProperties>
</file>